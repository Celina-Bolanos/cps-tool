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olanos\Desktop\projects\cps-tool\data\"/>
    </mc:Choice>
  </mc:AlternateContent>
  <xr:revisionPtr revIDLastSave="0" documentId="13_ncr:1_{C9632294-0503-40D6-8587-C2938441E3B7}" xr6:coauthVersionLast="47" xr6:coauthVersionMax="47" xr10:uidLastSave="{00000000-0000-0000-0000-000000000000}"/>
  <bookViews>
    <workbookView xWindow="28680" yWindow="-120" windowWidth="29040" windowHeight="15720" activeTab="1" xr2:uid="{7FC67F31-20FD-4FEB-ADE5-67E343098000}"/>
  </bookViews>
  <sheets>
    <sheet name="Subcontractors" sheetId="1" r:id="rId1"/>
    <sheet name="Ext_serv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2" l="1"/>
  <c r="E15" i="2"/>
  <c r="E14" i="2"/>
</calcChain>
</file>

<file path=xl/sharedStrings.xml><?xml version="1.0" encoding="utf-8"?>
<sst xmlns="http://schemas.openxmlformats.org/spreadsheetml/2006/main" count="102" uniqueCount="53">
  <si>
    <t>name</t>
  </si>
  <si>
    <t>Price</t>
  </si>
  <si>
    <t>Space rental VPC</t>
  </si>
  <si>
    <t>Place CPS stickers &amp; seals</t>
  </si>
  <si>
    <t xml:space="preserve">Pictures standard </t>
  </si>
  <si>
    <t>address_1</t>
  </si>
  <si>
    <t>address_2</t>
  </si>
  <si>
    <t>Antwerp Euroterminals NV</t>
  </si>
  <si>
    <t>Blikken, Kaai 1333</t>
  </si>
  <si>
    <t>9130 Verrebroek - Beveren</t>
  </si>
  <si>
    <t>Carcenter Zeebrugge N.V.</t>
  </si>
  <si>
    <t>Barlenhuisstraat 2</t>
  </si>
  <si>
    <t>8380 Zeebrugge</t>
  </si>
  <si>
    <t>ICO</t>
  </si>
  <si>
    <t>sup_ID</t>
  </si>
  <si>
    <t>SP001</t>
  </si>
  <si>
    <t>SP002</t>
  </si>
  <si>
    <t>SP003</t>
  </si>
  <si>
    <t>SP004</t>
  </si>
  <si>
    <t>MSE</t>
  </si>
  <si>
    <t>hourly_rate</t>
  </si>
  <si>
    <t>AET</t>
  </si>
  <si>
    <t>Carcenter</t>
  </si>
  <si>
    <t>CPS Stickers placement according to instructions</t>
  </si>
  <si>
    <t>Admin Fee</t>
  </si>
  <si>
    <t>Compound Handling</t>
  </si>
  <si>
    <t>Transport both ways</t>
  </si>
  <si>
    <t>Deffault</t>
  </si>
  <si>
    <t>3-layer cargo bed coating</t>
  </si>
  <si>
    <t>CPS stickers &amp; seals</t>
  </si>
  <si>
    <t xml:space="preserve">Standard Photoshoot </t>
  </si>
  <si>
    <t>ICO Terminals</t>
  </si>
  <si>
    <t>Haandorpweg 2, Quay 1241</t>
  </si>
  <si>
    <t>9130 Kallo-Beveren, BE</t>
  </si>
  <si>
    <t xml:space="preserve">Terminal Moves </t>
  </si>
  <si>
    <t>Ext_Service</t>
  </si>
  <si>
    <t>qty_vin</t>
  </si>
  <si>
    <t>Weighing and measuring</t>
  </si>
  <si>
    <t>3-Layer Cargo Bed Coating</t>
  </si>
  <si>
    <t>Transport expenses to/from conversion site</t>
  </si>
  <si>
    <t>M.S.E</t>
  </si>
  <si>
    <t>Rue Léopold Demesmaeker 63</t>
  </si>
  <si>
    <t>1083 Bruxelles</t>
  </si>
  <si>
    <t>Placing CPS stickers &amp; seals</t>
  </si>
  <si>
    <t>name_long</t>
  </si>
  <si>
    <t>Space rental</t>
  </si>
  <si>
    <t>12V charge</t>
  </si>
  <si>
    <t>VPC move</t>
  </si>
  <si>
    <t>2-Layer Cargo Bed Coating</t>
  </si>
  <si>
    <t>Protective Coating - Chassis</t>
  </si>
  <si>
    <t xml:space="preserve">Advanced Photoshoot </t>
  </si>
  <si>
    <t>Hourly rate</t>
  </si>
  <si>
    <t>Video shoot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</si>
</sst>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05FF-0BCF-4445-96D3-1B04879B7FE8}">
  <dimension ref="A1:F5"/>
  <sheetViews>
    <sheetView workbookViewId="0">
      <selection activeCell="D5" sqref="D5"/>
    </sheetView>
  </sheetViews>
  <sheetFormatPr defaultRowHeight="15" x14ac:dyDescent="0.25"/>
  <cols>
    <col min="2" max="2" width="9.140625" style="1"/>
    <col min="3" max="3" width="27.85546875" customWidth="1"/>
    <col min="4" max="4" width="27.5703125" customWidth="1"/>
    <col min="5" max="5" width="24.5703125" customWidth="1"/>
    <col min="6" max="6" width="13.28515625" customWidth="1"/>
  </cols>
  <sheetData>
    <row r="1" spans="1:6" x14ac:dyDescent="0.25">
      <c r="A1" t="s">
        <v>14</v>
      </c>
      <c r="B1" s="1" t="s">
        <v>0</v>
      </c>
      <c r="C1" t="s">
        <v>44</v>
      </c>
      <c r="D1" t="s">
        <v>5</v>
      </c>
      <c r="E1" t="s">
        <v>6</v>
      </c>
      <c r="F1" t="s">
        <v>20</v>
      </c>
    </row>
    <row r="2" spans="1:6" x14ac:dyDescent="0.25">
      <c r="A2" t="s">
        <v>15</v>
      </c>
      <c r="B2" s="1" t="s">
        <v>21</v>
      </c>
      <c r="C2" t="s">
        <v>7</v>
      </c>
      <c r="D2" t="s">
        <v>8</v>
      </c>
      <c r="E2" t="s">
        <v>9</v>
      </c>
      <c r="F2">
        <v>65</v>
      </c>
    </row>
    <row r="3" spans="1:6" x14ac:dyDescent="0.25">
      <c r="A3" t="s">
        <v>16</v>
      </c>
      <c r="B3" s="1" t="s">
        <v>22</v>
      </c>
      <c r="C3" t="s">
        <v>10</v>
      </c>
      <c r="D3" t="s">
        <v>11</v>
      </c>
      <c r="E3" t="s">
        <v>12</v>
      </c>
      <c r="F3">
        <v>70</v>
      </c>
    </row>
    <row r="4" spans="1:6" x14ac:dyDescent="0.25">
      <c r="A4" t="s">
        <v>17</v>
      </c>
      <c r="B4" s="1" t="s">
        <v>13</v>
      </c>
      <c r="C4" t="s">
        <v>31</v>
      </c>
      <c r="D4" t="s">
        <v>32</v>
      </c>
      <c r="E4" t="s">
        <v>33</v>
      </c>
      <c r="F4">
        <v>63.75</v>
      </c>
    </row>
    <row r="5" spans="1:6" x14ac:dyDescent="0.25">
      <c r="A5" t="s">
        <v>18</v>
      </c>
      <c r="B5" s="1" t="s">
        <v>19</v>
      </c>
      <c r="C5" t="s">
        <v>40</v>
      </c>
      <c r="D5" t="s">
        <v>41</v>
      </c>
      <c r="E5" t="s">
        <v>42</v>
      </c>
      <c r="F5">
        <v>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8D97-6DB9-4B7B-AE4B-68BC5BA5F035}">
  <dimension ref="A1:I24"/>
  <sheetViews>
    <sheetView tabSelected="1" workbookViewId="0">
      <selection activeCell="J12" sqref="J12"/>
    </sheetView>
  </sheetViews>
  <sheetFormatPr defaultRowHeight="15" x14ac:dyDescent="0.25"/>
  <cols>
    <col min="1" max="2" width="9.140625" style="1"/>
    <col min="3" max="3" width="41.7109375" customWidth="1"/>
    <col min="4" max="4" width="9.140625" customWidth="1"/>
    <col min="5" max="5" width="9.140625" style="1"/>
  </cols>
  <sheetData>
    <row r="1" spans="1:9" x14ac:dyDescent="0.25">
      <c r="A1" s="1" t="s">
        <v>14</v>
      </c>
      <c r="B1" s="1" t="s">
        <v>0</v>
      </c>
      <c r="C1" s="2" t="s">
        <v>35</v>
      </c>
      <c r="D1" s="2" t="s">
        <v>36</v>
      </c>
      <c r="E1" s="1" t="s">
        <v>1</v>
      </c>
      <c r="F1" s="1" t="s">
        <v>27</v>
      </c>
    </row>
    <row r="2" spans="1:9" x14ac:dyDescent="0.25">
      <c r="A2" s="1" t="s">
        <v>15</v>
      </c>
      <c r="B2" s="1" t="s">
        <v>21</v>
      </c>
      <c r="C2" t="s">
        <v>2</v>
      </c>
      <c r="D2">
        <v>1</v>
      </c>
      <c r="E2" s="1">
        <v>28</v>
      </c>
      <c r="F2" s="1" t="b">
        <v>0</v>
      </c>
    </row>
    <row r="3" spans="1:9" x14ac:dyDescent="0.25">
      <c r="A3" s="1" t="s">
        <v>15</v>
      </c>
      <c r="B3" s="1" t="s">
        <v>21</v>
      </c>
      <c r="C3" t="s">
        <v>37</v>
      </c>
      <c r="D3">
        <v>0</v>
      </c>
      <c r="E3" s="1">
        <v>41.92</v>
      </c>
      <c r="F3" s="1" t="b">
        <v>0</v>
      </c>
      <c r="I3" t="s">
        <v>51</v>
      </c>
    </row>
    <row r="4" spans="1:9" x14ac:dyDescent="0.25">
      <c r="A4" s="1" t="s">
        <v>15</v>
      </c>
      <c r="B4" s="1" t="s">
        <v>21</v>
      </c>
      <c r="C4" t="s">
        <v>4</v>
      </c>
      <c r="D4">
        <v>1</v>
      </c>
      <c r="E4" s="1">
        <v>18.149999999999999</v>
      </c>
      <c r="F4" s="1" t="b">
        <v>0</v>
      </c>
      <c r="I4">
        <v>63.75</v>
      </c>
    </row>
    <row r="5" spans="1:9" x14ac:dyDescent="0.25">
      <c r="A5" s="1" t="s">
        <v>15</v>
      </c>
      <c r="B5" s="1" t="s">
        <v>21</v>
      </c>
      <c r="C5" t="s">
        <v>43</v>
      </c>
      <c r="D5">
        <v>1</v>
      </c>
      <c r="E5" s="1">
        <v>9.6300000000000008</v>
      </c>
      <c r="F5" s="1" t="b">
        <v>0</v>
      </c>
    </row>
    <row r="6" spans="1:9" x14ac:dyDescent="0.25">
      <c r="A6" s="1" t="s">
        <v>16</v>
      </c>
      <c r="B6" s="1" t="s">
        <v>22</v>
      </c>
      <c r="C6" t="s">
        <v>24</v>
      </c>
      <c r="D6">
        <v>1</v>
      </c>
      <c r="E6" s="1">
        <v>44</v>
      </c>
      <c r="F6" s="1" t="b">
        <v>1</v>
      </c>
    </row>
    <row r="7" spans="1:9" x14ac:dyDescent="0.25">
      <c r="A7" s="1" t="s">
        <v>16</v>
      </c>
      <c r="B7" s="1" t="s">
        <v>22</v>
      </c>
      <c r="C7" t="s">
        <v>25</v>
      </c>
      <c r="D7">
        <v>1</v>
      </c>
      <c r="E7" s="1">
        <v>11</v>
      </c>
      <c r="F7" s="1" t="b">
        <v>1</v>
      </c>
    </row>
    <row r="8" spans="1:9" x14ac:dyDescent="0.25">
      <c r="A8" s="1" t="s">
        <v>16</v>
      </c>
      <c r="B8" s="1" t="s">
        <v>22</v>
      </c>
      <c r="C8" t="s">
        <v>26</v>
      </c>
      <c r="D8">
        <v>1</v>
      </c>
      <c r="E8" s="1">
        <v>237.5</v>
      </c>
      <c r="F8" s="1" t="b">
        <v>1</v>
      </c>
    </row>
    <row r="9" spans="1:9" x14ac:dyDescent="0.25">
      <c r="A9" s="1" t="s">
        <v>16</v>
      </c>
      <c r="B9" s="1" t="s">
        <v>22</v>
      </c>
      <c r="C9" t="s">
        <v>23</v>
      </c>
      <c r="D9">
        <v>1</v>
      </c>
      <c r="E9" s="1">
        <v>0</v>
      </c>
      <c r="F9" s="1" t="b">
        <v>1</v>
      </c>
    </row>
    <row r="10" spans="1:9" x14ac:dyDescent="0.25">
      <c r="A10" s="1" t="s">
        <v>16</v>
      </c>
      <c r="B10" s="1" t="s">
        <v>22</v>
      </c>
      <c r="C10" t="s">
        <v>28</v>
      </c>
      <c r="D10">
        <v>1</v>
      </c>
      <c r="E10" s="1">
        <v>625</v>
      </c>
      <c r="F10" s="1" t="b">
        <v>0</v>
      </c>
    </row>
    <row r="11" spans="1:9" x14ac:dyDescent="0.25">
      <c r="A11" s="1" t="s">
        <v>17</v>
      </c>
      <c r="B11" s="1" t="s">
        <v>13</v>
      </c>
      <c r="C11" t="s">
        <v>34</v>
      </c>
      <c r="D11">
        <v>2</v>
      </c>
      <c r="E11" s="1">
        <v>11.75</v>
      </c>
      <c r="F11" s="1" t="b">
        <v>1</v>
      </c>
    </row>
    <row r="12" spans="1:9" x14ac:dyDescent="0.25">
      <c r="A12" s="1" t="s">
        <v>17</v>
      </c>
      <c r="B12" s="1" t="s">
        <v>13</v>
      </c>
      <c r="C12" t="s">
        <v>47</v>
      </c>
      <c r="D12">
        <v>1</v>
      </c>
      <c r="E12" s="1">
        <v>6.5</v>
      </c>
      <c r="F12" s="1" t="b">
        <v>0</v>
      </c>
    </row>
    <row r="13" spans="1:9" x14ac:dyDescent="0.25">
      <c r="A13" s="1" t="s">
        <v>17</v>
      </c>
      <c r="B13" s="1" t="s">
        <v>13</v>
      </c>
      <c r="C13" t="s">
        <v>46</v>
      </c>
      <c r="D13">
        <v>1</v>
      </c>
      <c r="E13" s="1">
        <v>9.19</v>
      </c>
      <c r="F13" s="1" t="b">
        <v>0</v>
      </c>
    </row>
    <row r="14" spans="1:9" x14ac:dyDescent="0.25">
      <c r="A14" s="1" t="s">
        <v>17</v>
      </c>
      <c r="B14" s="1" t="s">
        <v>13</v>
      </c>
      <c r="C14" t="s">
        <v>30</v>
      </c>
      <c r="D14">
        <v>1</v>
      </c>
      <c r="E14" s="1">
        <f>I4*0.2</f>
        <v>12.75</v>
      </c>
      <c r="F14" s="1" t="b">
        <v>1</v>
      </c>
    </row>
    <row r="15" spans="1:9" x14ac:dyDescent="0.25">
      <c r="A15" s="1" t="s">
        <v>17</v>
      </c>
      <c r="B15" s="1" t="s">
        <v>13</v>
      </c>
      <c r="C15" t="s">
        <v>50</v>
      </c>
      <c r="D15">
        <v>1</v>
      </c>
      <c r="E15" s="3">
        <f>I4*0.4411</f>
        <v>28.120124999999998</v>
      </c>
      <c r="F15" s="1" t="b">
        <v>0</v>
      </c>
    </row>
    <row r="16" spans="1:9" x14ac:dyDescent="0.25">
      <c r="A16" s="1" t="s">
        <v>17</v>
      </c>
      <c r="B16" s="1" t="s">
        <v>13</v>
      </c>
      <c r="C16" t="s">
        <v>52</v>
      </c>
      <c r="D16">
        <v>1</v>
      </c>
      <c r="E16" s="3">
        <f>I4*0.4902</f>
        <v>31.250250000000001</v>
      </c>
      <c r="F16" s="1" t="b">
        <v>0</v>
      </c>
    </row>
    <row r="17" spans="1:6" x14ac:dyDescent="0.25">
      <c r="A17" s="1" t="s">
        <v>17</v>
      </c>
      <c r="B17" s="1" t="s">
        <v>13</v>
      </c>
      <c r="C17" t="s">
        <v>37</v>
      </c>
      <c r="D17">
        <v>0</v>
      </c>
      <c r="E17" s="1">
        <v>3.2</v>
      </c>
      <c r="F17" s="1" t="b">
        <v>1</v>
      </c>
    </row>
    <row r="18" spans="1:6" x14ac:dyDescent="0.25">
      <c r="A18" s="1" t="s">
        <v>17</v>
      </c>
      <c r="B18" s="1" t="s">
        <v>13</v>
      </c>
      <c r="C18" t="s">
        <v>29</v>
      </c>
      <c r="D18">
        <v>1</v>
      </c>
      <c r="E18" s="1">
        <v>3.2</v>
      </c>
      <c r="F18" s="1" t="b">
        <v>1</v>
      </c>
    </row>
    <row r="19" spans="1:6" x14ac:dyDescent="0.25">
      <c r="A19" s="1" t="s">
        <v>17</v>
      </c>
      <c r="B19" s="1" t="s">
        <v>13</v>
      </c>
      <c r="C19" t="s">
        <v>45</v>
      </c>
      <c r="D19">
        <v>1</v>
      </c>
      <c r="E19" s="1">
        <v>15.3</v>
      </c>
      <c r="F19" s="1" t="b">
        <v>0</v>
      </c>
    </row>
    <row r="20" spans="1:6" x14ac:dyDescent="0.25">
      <c r="A20" s="1" t="s">
        <v>17</v>
      </c>
      <c r="B20" s="1" t="s">
        <v>13</v>
      </c>
      <c r="C20" t="s">
        <v>48</v>
      </c>
      <c r="D20">
        <v>1</v>
      </c>
      <c r="E20" s="1">
        <v>475.12</v>
      </c>
      <c r="F20" s="1" t="b">
        <v>0</v>
      </c>
    </row>
    <row r="21" spans="1:6" x14ac:dyDescent="0.25">
      <c r="A21" s="1" t="s">
        <v>17</v>
      </c>
      <c r="B21" s="1" t="s">
        <v>13</v>
      </c>
      <c r="C21" t="s">
        <v>38</v>
      </c>
      <c r="D21">
        <v>1</v>
      </c>
      <c r="E21" s="1">
        <v>670.07</v>
      </c>
      <c r="F21" s="1" t="b">
        <v>0</v>
      </c>
    </row>
    <row r="22" spans="1:6" x14ac:dyDescent="0.25">
      <c r="A22" s="1" t="s">
        <v>17</v>
      </c>
      <c r="B22" s="1" t="s">
        <v>13</v>
      </c>
      <c r="C22" t="s">
        <v>49</v>
      </c>
      <c r="D22">
        <v>1</v>
      </c>
      <c r="E22" s="1">
        <v>325</v>
      </c>
      <c r="F22" s="1" t="b">
        <v>0</v>
      </c>
    </row>
    <row r="23" spans="1:6" x14ac:dyDescent="0.25">
      <c r="A23" s="1" t="s">
        <v>18</v>
      </c>
      <c r="B23" s="1" t="s">
        <v>19</v>
      </c>
      <c r="C23" t="s">
        <v>3</v>
      </c>
      <c r="D23">
        <v>1</v>
      </c>
      <c r="E23" s="1">
        <v>0</v>
      </c>
      <c r="F23" s="1" t="b">
        <v>1</v>
      </c>
    </row>
    <row r="24" spans="1:6" x14ac:dyDescent="0.25">
      <c r="A24" s="1" t="s">
        <v>18</v>
      </c>
      <c r="B24" s="1" t="s">
        <v>19</v>
      </c>
      <c r="C24" t="s">
        <v>39</v>
      </c>
      <c r="D24">
        <v>0</v>
      </c>
      <c r="E24" s="1">
        <v>105</v>
      </c>
      <c r="F24" s="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Subcontractors</vt:lpstr>
      <vt:lpstr>Ext_services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BOLANOS - EXT</dc:creator>
  <cp:lastModifiedBy>Celina BOLANOS - EXT</cp:lastModifiedBy>
  <dcterms:created xsi:type="dcterms:W3CDTF">2026-07-28T12:17:30Z</dcterms:created>
  <dcterms:modified xsi:type="dcterms:W3CDTF">2026-10-19T12:13:51Z</dcterms:modified>
</cp:coreProperties>
</file>